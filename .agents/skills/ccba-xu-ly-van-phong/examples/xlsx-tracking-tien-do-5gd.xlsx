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BGĐ Dashboard" sheetId="1" state="visible" r:id="rId1"/>
    <sheet xmlns:r="http://schemas.openxmlformats.org/officeDocument/2006/relationships" name="📋 Tiến Độ 5 GĐ" sheetId="2" state="visible" r:id="rId2"/>
    <sheet xmlns:r="http://schemas.openxmlformats.org/officeDocument/2006/relationships" name="📖 Hướng Dẫn" sheetId="3" state="visible" r:id="rId3"/>
    <sheet xmlns:r="http://schemas.openxmlformats.org/officeDocument/2006/relationships" name="📝 Change Log" sheetId="4" state="visible" r:id="rId4"/>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00FFFFFF"/>
      <sz val="15"/>
    </font>
    <font>
      <name val="Calibri"/>
      <i val="1"/>
      <color rgb="00444444"/>
      <sz val="9"/>
    </font>
    <font>
      <name val="Calibri"/>
      <b val="1"/>
      <color rgb="00FFFFFF"/>
      <sz val="8"/>
    </font>
    <font>
      <name val="Calibri"/>
      <b val="1"/>
      <color rgb="00333333"/>
      <sz val="9"/>
    </font>
    <font>
      <name val="Calibri"/>
      <b val="1"/>
      <color rgb="00FFFFFF"/>
      <sz val="11"/>
    </font>
    <font>
      <name val="Calibri"/>
      <sz val="10"/>
    </font>
    <font>
      <name val="Calibri"/>
      <color rgb="00375623"/>
      <sz val="10"/>
    </font>
    <font>
      <name val="Calibri"/>
      <color rgb="000070C0"/>
      <sz val="10"/>
    </font>
    <font>
      <name val="Calibri"/>
      <color rgb="009E9E9E"/>
      <sz val="10"/>
    </font>
    <font>
      <name val="Calibri"/>
      <b val="1"/>
      <sz val="10"/>
    </font>
    <font>
      <name val="Calibri"/>
      <color rgb="007F7F7F"/>
      <sz val="10"/>
    </font>
    <font>
      <name val="Calibri"/>
      <color rgb="00C00000"/>
      <sz val="10"/>
    </font>
    <font>
      <name val="Calibri"/>
      <b val="1"/>
      <color rgb="001F3864"/>
      <sz val="11"/>
    </font>
    <font>
      <name val="Calibri"/>
      <b val="1"/>
      <color rgb="00FFFFFF"/>
      <sz val="10"/>
    </font>
  </fonts>
  <fills count="18">
    <fill>
      <patternFill/>
    </fill>
    <fill>
      <patternFill patternType="gray125"/>
    </fill>
    <fill>
      <patternFill patternType="solid">
        <fgColor rgb="001F3864"/>
      </patternFill>
    </fill>
    <fill>
      <patternFill patternType="solid">
        <fgColor rgb="00D6E4F7"/>
      </patternFill>
    </fill>
    <fill>
      <patternFill patternType="solid">
        <fgColor rgb="002E75B6"/>
      </patternFill>
    </fill>
    <fill>
      <patternFill patternType="solid">
        <fgColor rgb="00375623"/>
      </patternFill>
    </fill>
    <fill>
      <patternFill patternType="solid">
        <fgColor rgb="007E3B8A"/>
      </patternFill>
    </fill>
    <fill>
      <patternFill patternType="solid">
        <fgColor rgb="00C55A11"/>
      </patternFill>
    </fill>
    <fill>
      <patternFill patternType="solid">
        <fgColor rgb="00843C0C"/>
      </patternFill>
    </fill>
    <fill>
      <patternFill patternType="solid">
        <fgColor rgb="00E8E8E8"/>
      </patternFill>
    </fill>
    <fill>
      <patternFill patternType="solid">
        <fgColor rgb="00D6E4F0"/>
      </patternFill>
    </fill>
    <fill>
      <patternFill patternType="solid">
        <fgColor rgb="00E2EFDA"/>
      </patternFill>
    </fill>
    <fill>
      <patternFill patternType="solid">
        <fgColor rgb="00E8D5F0"/>
      </patternFill>
    </fill>
    <fill>
      <patternFill patternType="solid">
        <fgColor rgb="00FCE4CC"/>
      </patternFill>
    </fill>
    <fill>
      <patternFill patternType="solid">
        <fgColor rgb="00F0DDD5"/>
      </patternFill>
    </fill>
    <fill>
      <patternFill patternType="solid">
        <fgColor rgb="00DEEAF1"/>
      </patternFill>
    </fill>
    <fill>
      <patternFill patternType="solid">
        <fgColor rgb="00F2F2F2"/>
      </patternFill>
    </fill>
    <fill>
      <patternFill patternType="solid">
        <fgColor rgb="00FADBD8"/>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10" fillId="0" borderId="1" applyAlignment="1" pivotButton="0" quotePrefix="0" xfId="0">
      <alignment horizontal="center" vertical="center" wrapText="1"/>
    </xf>
    <xf numFmtId="0" fontId="6" fillId="16" borderId="1" applyAlignment="1" pivotButton="0" quotePrefix="0" xfId="0">
      <alignment horizontal="center" vertical="center" wrapText="1"/>
    </xf>
    <xf numFmtId="0" fontId="6" fillId="16" borderId="1" applyAlignment="1" pivotButton="0" quotePrefix="0" xfId="0">
      <alignment horizontal="left" vertical="center" wrapText="1"/>
    </xf>
    <xf numFmtId="0" fontId="10" fillId="16" borderId="1" applyAlignment="1" pivotButton="0" quotePrefix="0" xfId="0">
      <alignment horizontal="center" vertical="center" wrapText="1"/>
    </xf>
    <xf numFmtId="0" fontId="13" fillId="0" borderId="0" applyAlignment="1" pivotButton="0" quotePrefix="0" xfId="0">
      <alignment horizontal="center" vertical="center" wrapText="1"/>
    </xf>
    <xf numFmtId="0" fontId="10" fillId="0" borderId="0" applyAlignment="1" pivotButton="0" quotePrefix="0" xfId="0">
      <alignment horizontal="center" vertical="center" wrapText="1"/>
    </xf>
    <xf numFmtId="0" fontId="0" fillId="2" borderId="1" pivotButton="0" quotePrefix="0" xfId="0"/>
    <xf numFmtId="0" fontId="4"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1" borderId="1" applyAlignment="1" pivotButton="0" quotePrefix="0" xfId="0">
      <alignment horizontal="center" vertical="center" wrapText="1"/>
    </xf>
    <xf numFmtId="0" fontId="4" fillId="12" borderId="1" applyAlignment="1" pivotButton="0" quotePrefix="0" xfId="0">
      <alignment horizontal="center" vertical="center" wrapText="1"/>
    </xf>
    <xf numFmtId="0" fontId="4" fillId="13" borderId="1" applyAlignment="1" pivotButton="0" quotePrefix="0" xfId="0">
      <alignment horizontal="center" vertical="center" wrapText="1"/>
    </xf>
    <xf numFmtId="0" fontId="4" fillId="14" borderId="1" applyAlignment="1" pivotButton="0" quotePrefix="0" xfId="0">
      <alignment horizontal="center" vertical="center" wrapText="1"/>
    </xf>
    <xf numFmtId="0" fontId="5" fillId="2" borderId="0" applyAlignment="1" pivotButton="0" quotePrefix="0" xfId="0">
      <alignment horizontal="center" vertical="center" wrapText="1"/>
    </xf>
    <xf numFmtId="0" fontId="7" fillId="11" borderId="1" applyAlignment="1" pivotButton="0" quotePrefix="0" xfId="0">
      <alignment horizontal="center" vertical="center" wrapText="1"/>
    </xf>
    <xf numFmtId="0" fontId="8" fillId="15" borderId="1" applyAlignment="1" pivotButton="0" quotePrefix="0" xfId="0">
      <alignment horizontal="center" vertical="center" wrapText="1"/>
    </xf>
    <xf numFmtId="0" fontId="9" fillId="16" borderId="1" applyAlignment="1" pivotButton="0" quotePrefix="0" xfId="0">
      <alignment horizontal="center" vertical="center" wrapText="1"/>
    </xf>
    <xf numFmtId="9" fontId="10" fillId="0" borderId="1" applyAlignment="1" pivotButton="0" quotePrefix="0" xfId="0">
      <alignment horizontal="center" vertical="center" wrapText="1"/>
    </xf>
    <xf numFmtId="0" fontId="11" fillId="16" borderId="1" applyAlignment="1" pivotButton="0" quotePrefix="0" xfId="0">
      <alignment horizontal="center" vertical="center" wrapText="1"/>
    </xf>
    <xf numFmtId="9" fontId="10" fillId="16" borderId="1" applyAlignment="1" pivotButton="0" quotePrefix="0" xfId="0">
      <alignment horizontal="center" vertical="center" wrapText="1"/>
    </xf>
    <xf numFmtId="0" fontId="12" fillId="17" borderId="1" applyAlignment="1" pivotButton="0" quotePrefix="0" xfId="0">
      <alignment horizontal="center" vertical="center" wrapText="1"/>
    </xf>
    <xf numFmtId="0" fontId="6" fillId="0" borderId="0" applyAlignment="1" pivotButton="0" quotePrefix="0" xfId="0">
      <alignment horizontal="left" vertical="center" wrapText="1"/>
    </xf>
    <xf numFmtId="0" fontId="14"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H19"/>
  <sheetViews>
    <sheetView workbookViewId="0">
      <selection activeCell="A1" sqref="A1"/>
    </sheetView>
  </sheetViews>
  <sheetFormatPr baseColWidth="8" defaultRowHeight="15"/>
  <cols>
    <col width="5" customWidth="1" min="1" max="1"/>
    <col width="38" customWidth="1" min="2" max="2"/>
    <col width="14" customWidth="1" min="3" max="3"/>
    <col width="14" customWidth="1" min="4" max="4"/>
    <col width="14" customWidth="1" min="5" max="5"/>
    <col width="14" customWidth="1" min="6" max="6"/>
    <col width="14" customWidth="1" min="7" max="7"/>
    <col width="14" customWidth="1" min="8" max="8"/>
  </cols>
  <sheetData>
    <row r="1" ht="43.5" customHeight="1">
      <c r="A1" s="1" t="inlineStr">
        <is>
          <t>DASHBOARD TỔNG QUAN — AI WORKFORCE SIGMA</t>
        </is>
      </c>
    </row>
    <row r="2" ht="19.5" customHeight="1">
      <c r="A2" s="2" t="inlineStr">
        <is>
          <t>Dữ liệu tự động từ sheet 📋 Tiến Độ 5 GĐ  •  Không chỉnh sửa tay</t>
        </is>
      </c>
    </row>
    <row r="3" ht="9.75" customHeight="1"/>
    <row r="4" ht="39.75" customHeight="1">
      <c r="A4" s="3" t="inlineStr">
        <is>
          <t>STT</t>
        </is>
      </c>
      <c r="B4" s="3" t="inlineStr">
        <is>
          <t>Module / Tác vụ</t>
        </is>
      </c>
      <c r="C4" s="4" t="inlineStr">
        <is>
          <t>GĐ1
Yêu cầu</t>
        </is>
      </c>
      <c r="D4" s="5" t="inlineStr">
        <is>
          <t>GĐ2
Demo CB</t>
        </is>
      </c>
      <c r="E4" s="6" t="inlineStr">
        <is>
          <t>GĐ3
Demo CTS</t>
        </is>
      </c>
      <c r="F4" s="7" t="inlineStr">
        <is>
          <t>GĐ4
Triển khai</t>
        </is>
      </c>
      <c r="G4" s="8" t="inlineStr">
        <is>
          <t>GĐ5
Nghiệm thu</t>
        </is>
      </c>
      <c r="H4" s="3" t="inlineStr">
        <is>
          <t>Tổng HT</t>
        </is>
      </c>
    </row>
    <row r="5" ht="27.75" customHeight="1">
      <c r="A5" s="9" t="n">
        <v>1</v>
      </c>
      <c r="B5" s="10" t="inlineStr">
        <is>
          <t>Tạo bản vẽ sơ bộ từ dữ liệu khảo sát</t>
        </is>
      </c>
      <c r="C5" s="9">
        <f>'📋 Tiến Độ 5 GĐ'!D6</f>
        <v/>
      </c>
      <c r="D5" s="9">
        <f>'📋 Tiến Độ 5 GĐ'!E6</f>
        <v/>
      </c>
      <c r="E5" s="9">
        <f>'📋 Tiến Độ 5 GĐ'!F6</f>
        <v/>
      </c>
      <c r="F5" s="9">
        <f>'📋 Tiến Độ 5 GĐ'!G6</f>
        <v/>
      </c>
      <c r="G5" s="9">
        <f>'📋 Tiến Độ 5 GĐ'!H6</f>
        <v/>
      </c>
      <c r="H5" s="11">
        <f>COUNTIF(C5:G5,"Hoàn thành")</f>
        <v/>
      </c>
    </row>
    <row r="6" ht="27.75" customHeight="1">
      <c r="A6" s="12" t="n">
        <v>2</v>
      </c>
      <c r="B6" s="13" t="inlineStr">
        <is>
          <t>Kiểm tra đối chiếu bản vẽ với tiêu chuẩn</t>
        </is>
      </c>
      <c r="C6" s="12">
        <f>'📋 Tiến Độ 5 GĐ'!D7</f>
        <v/>
      </c>
      <c r="D6" s="12">
        <f>'📋 Tiến Độ 5 GĐ'!E7</f>
        <v/>
      </c>
      <c r="E6" s="12">
        <f>'📋 Tiến Độ 5 GĐ'!F7</f>
        <v/>
      </c>
      <c r="F6" s="12">
        <f>'📋 Tiến Độ 5 GĐ'!G7</f>
        <v/>
      </c>
      <c r="G6" s="12">
        <f>'📋 Tiến Độ 5 GĐ'!H7</f>
        <v/>
      </c>
      <c r="H6" s="14">
        <f>COUNTIF(C6:G6,"Hoàn thành")</f>
        <v/>
      </c>
    </row>
    <row r="7" ht="27.75" customHeight="1">
      <c r="A7" s="9" t="n">
        <v>3</v>
      </c>
      <c r="B7" s="10" t="inlineStr">
        <is>
          <t>Xuất hồ sơ thiết kế theo mẫu Tổng Công ty</t>
        </is>
      </c>
      <c r="C7" s="9">
        <f>'📋 Tiến Độ 5 GĐ'!D8</f>
        <v/>
      </c>
      <c r="D7" s="9">
        <f>'📋 Tiến Độ 5 GĐ'!E8</f>
        <v/>
      </c>
      <c r="E7" s="9">
        <f>'📋 Tiến Độ 5 GĐ'!F8</f>
        <v/>
      </c>
      <c r="F7" s="9">
        <f>'📋 Tiến Độ 5 GĐ'!G8</f>
        <v/>
      </c>
      <c r="G7" s="9">
        <f>'📋 Tiến Độ 5 GĐ'!H8</f>
        <v/>
      </c>
      <c r="H7" s="11">
        <f>COUNTIF(C7:G7,"Hoàn thành")</f>
        <v/>
      </c>
    </row>
    <row r="8" ht="27.75" customHeight="1">
      <c r="A8" s="12" t="n">
        <v>4</v>
      </c>
      <c r="B8" s="13" t="inlineStr">
        <is>
          <t>Lập tiến độ thi công từ khối lượng BOQ</t>
        </is>
      </c>
      <c r="C8" s="12">
        <f>'📋 Tiến Độ 5 GĐ'!D9</f>
        <v/>
      </c>
      <c r="D8" s="12">
        <f>'📋 Tiến Độ 5 GĐ'!E9</f>
        <v/>
      </c>
      <c r="E8" s="12">
        <f>'📋 Tiến Độ 5 GĐ'!F9</f>
        <v/>
      </c>
      <c r="F8" s="12">
        <f>'📋 Tiến Độ 5 GĐ'!G9</f>
        <v/>
      </c>
      <c r="G8" s="12">
        <f>'📋 Tiến Độ 5 GĐ'!H9</f>
        <v/>
      </c>
      <c r="H8" s="14">
        <f>COUNTIF(C8:G8,"Hoàn thành")</f>
        <v/>
      </c>
    </row>
    <row r="9" ht="27.75" customHeight="1">
      <c r="A9" s="9" t="n">
        <v>5</v>
      </c>
      <c r="B9" s="10" t="inlineStr">
        <is>
          <t>Phân bổ nguồn lực theo từng gói thầu</t>
        </is>
      </c>
      <c r="C9" s="9">
        <f>'📋 Tiến Độ 5 GĐ'!D10</f>
        <v/>
      </c>
      <c r="D9" s="9">
        <f>'📋 Tiến Độ 5 GĐ'!E10</f>
        <v/>
      </c>
      <c r="E9" s="9">
        <f>'📋 Tiến Độ 5 GĐ'!F10</f>
        <v/>
      </c>
      <c r="F9" s="9">
        <f>'📋 Tiến Độ 5 GĐ'!G10</f>
        <v/>
      </c>
      <c r="G9" s="9">
        <f>'📋 Tiến Độ 5 GĐ'!H10</f>
        <v/>
      </c>
      <c r="H9" s="11">
        <f>COUNTIF(C9:G9,"Hoàn thành")</f>
        <v/>
      </c>
    </row>
    <row r="10" ht="27.75" customHeight="1">
      <c r="A10" s="12" t="n">
        <v>6</v>
      </c>
      <c r="B10" s="13" t="inlineStr">
        <is>
          <t>Báo cáo tổng hợp tuần cho Ban Giám đốc</t>
        </is>
      </c>
      <c r="C10" s="12">
        <f>'📋 Tiến Độ 5 GĐ'!D11</f>
        <v/>
      </c>
      <c r="D10" s="12">
        <f>'📋 Tiến Độ 5 GĐ'!E11</f>
        <v/>
      </c>
      <c r="E10" s="12">
        <f>'📋 Tiến Độ 5 GĐ'!F11</f>
        <v/>
      </c>
      <c r="F10" s="12">
        <f>'📋 Tiến Độ 5 GĐ'!G11</f>
        <v/>
      </c>
      <c r="G10" s="12">
        <f>'📋 Tiến Độ 5 GĐ'!H11</f>
        <v/>
      </c>
      <c r="H10" s="14">
        <f>COUNTIF(C10:G10,"Hoàn thành")</f>
        <v/>
      </c>
    </row>
    <row r="11" ht="27.75" customHeight="1">
      <c r="A11" s="9" t="n">
        <v>7</v>
      </c>
      <c r="B11" s="10" t="inlineStr">
        <is>
          <t>Tra cứu đơn giá vật liệu từ cơ sở dữ liệu</t>
        </is>
      </c>
      <c r="C11" s="9">
        <f>'📋 Tiến Độ 5 GĐ'!D12</f>
        <v/>
      </c>
      <c r="D11" s="9">
        <f>'📋 Tiến Độ 5 GĐ'!E12</f>
        <v/>
      </c>
      <c r="E11" s="9">
        <f>'📋 Tiến Độ 5 GĐ'!F12</f>
        <v/>
      </c>
      <c r="F11" s="9">
        <f>'📋 Tiến Độ 5 GĐ'!G12</f>
        <v/>
      </c>
      <c r="G11" s="9">
        <f>'📋 Tiến Độ 5 GĐ'!H12</f>
        <v/>
      </c>
      <c r="H11" s="11">
        <f>COUNTIF(C11:G11,"Hoàn thành")</f>
        <v/>
      </c>
    </row>
    <row r="12" ht="27.75" customHeight="1">
      <c r="A12" s="12" t="n">
        <v>8</v>
      </c>
      <c r="B12" s="13" t="inlineStr">
        <is>
          <t>So sánh báo giá nhà cung cấp</t>
        </is>
      </c>
      <c r="C12" s="12">
        <f>'📋 Tiến Độ 5 GĐ'!D13</f>
        <v/>
      </c>
      <c r="D12" s="12">
        <f>'📋 Tiến Độ 5 GĐ'!E13</f>
        <v/>
      </c>
      <c r="E12" s="12">
        <f>'📋 Tiến Độ 5 GĐ'!F13</f>
        <v/>
      </c>
      <c r="F12" s="12">
        <f>'📋 Tiến Độ 5 GĐ'!G13</f>
        <v/>
      </c>
      <c r="G12" s="12">
        <f>'📋 Tiến Độ 5 GĐ'!H13</f>
        <v/>
      </c>
      <c r="H12" s="14">
        <f>COUNTIF(C12:G12,"Hoàn thành")</f>
        <v/>
      </c>
    </row>
    <row r="13" ht="27.75" customHeight="1">
      <c r="A13" s="9" t="n">
        <v>9</v>
      </c>
      <c r="B13" s="10" t="inlineStr">
        <is>
          <t>Tạo đề xuất mua sắm theo mẫu</t>
        </is>
      </c>
      <c r="C13" s="9">
        <f>'📋 Tiến Độ 5 GĐ'!D14</f>
        <v/>
      </c>
      <c r="D13" s="9">
        <f>'📋 Tiến Độ 5 GĐ'!E14</f>
        <v/>
      </c>
      <c r="E13" s="9">
        <f>'📋 Tiến Độ 5 GĐ'!F14</f>
        <v/>
      </c>
      <c r="F13" s="9">
        <f>'📋 Tiến Độ 5 GĐ'!G14</f>
        <v/>
      </c>
      <c r="G13" s="9">
        <f>'📋 Tiến Độ 5 GĐ'!H14</f>
        <v/>
      </c>
      <c r="H13" s="11">
        <f>COUNTIF(C13:G13,"Hoàn thành")</f>
        <v/>
      </c>
    </row>
    <row r="14" ht="27.75" customHeight="1">
      <c r="A14" s="12" t="n">
        <v>10</v>
      </c>
      <c r="B14" s="13" t="inlineStr">
        <is>
          <t>Soạn JD tuyển dụng theo vị trí</t>
        </is>
      </c>
      <c r="C14" s="12">
        <f>'📋 Tiến Độ 5 GĐ'!D15</f>
        <v/>
      </c>
      <c r="D14" s="12">
        <f>'📋 Tiến Độ 5 GĐ'!E15</f>
        <v/>
      </c>
      <c r="E14" s="12">
        <f>'📋 Tiến Độ 5 GĐ'!F15</f>
        <v/>
      </c>
      <c r="F14" s="12">
        <f>'📋 Tiến Độ 5 GĐ'!G15</f>
        <v/>
      </c>
      <c r="G14" s="12">
        <f>'📋 Tiến Độ 5 GĐ'!H15</f>
        <v/>
      </c>
      <c r="H14" s="14">
        <f>COUNTIF(C14:G14,"Hoàn thành")</f>
        <v/>
      </c>
    </row>
    <row r="15" ht="27.75" customHeight="1">
      <c r="A15" s="9" t="n">
        <v>11</v>
      </c>
      <c r="B15" s="10" t="inlineStr">
        <is>
          <t>Lọc và đánh giá CV ứng viên</t>
        </is>
      </c>
      <c r="C15" s="9">
        <f>'📋 Tiến Độ 5 GĐ'!D16</f>
        <v/>
      </c>
      <c r="D15" s="9">
        <f>'📋 Tiến Độ 5 GĐ'!E16</f>
        <v/>
      </c>
      <c r="E15" s="9">
        <f>'📋 Tiến Độ 5 GĐ'!F16</f>
        <v/>
      </c>
      <c r="F15" s="9">
        <f>'📋 Tiến Độ 5 GĐ'!G16</f>
        <v/>
      </c>
      <c r="G15" s="9">
        <f>'📋 Tiến Độ 5 GĐ'!H16</f>
        <v/>
      </c>
      <c r="H15" s="11">
        <f>COUNTIF(C15:G15,"Hoàn thành")</f>
        <v/>
      </c>
    </row>
    <row r="16" ht="27.75" customHeight="1">
      <c r="A16" s="12" t="n">
        <v>12</v>
      </c>
      <c r="B16" s="13" t="inlineStr">
        <is>
          <t>Soạn email liên hệ ứng viên (6 loại)</t>
        </is>
      </c>
      <c r="C16" s="12">
        <f>'📋 Tiến Độ 5 GĐ'!D17</f>
        <v/>
      </c>
      <c r="D16" s="12">
        <f>'📋 Tiến Độ 5 GĐ'!E17</f>
        <v/>
      </c>
      <c r="E16" s="12">
        <f>'📋 Tiến Độ 5 GĐ'!F17</f>
        <v/>
      </c>
      <c r="F16" s="12">
        <f>'📋 Tiến Độ 5 GĐ'!G17</f>
        <v/>
      </c>
      <c r="G16" s="12">
        <f>'📋 Tiến Độ 5 GĐ'!H17</f>
        <v/>
      </c>
      <c r="H16" s="14">
        <f>COUNTIF(C16:G16,"Hoàn thành")</f>
        <v/>
      </c>
    </row>
    <row r="18" ht="9.75" customHeight="1"/>
    <row r="19">
      <c r="A19" s="15" t="inlineStr">
        <is>
          <t>TỔNG HỢP</t>
        </is>
      </c>
      <c r="C19" s="16">
        <f>COUNTIF(C5:C17,"Hoàn thành")</f>
        <v/>
      </c>
      <c r="D19" s="16">
        <f>COUNTIF(C5:C17,"Hoàn thành")</f>
        <v/>
      </c>
      <c r="E19" s="16">
        <f>COUNTIF(C5:C17,"Hoàn thành")</f>
        <v/>
      </c>
      <c r="F19" s="16">
        <f>COUNTIF(C5:C17,"Hoàn thành")</f>
        <v/>
      </c>
      <c r="G19" s="16">
        <f>COUNTIF(C5:C17,"Hoàn thành")</f>
        <v/>
      </c>
    </row>
  </sheetData>
  <mergeCells count="3">
    <mergeCell ref="A19:B19"/>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cols>
    <col width="5" customWidth="1" min="1" max="1"/>
    <col width="38" customWidth="1" min="2" max="2"/>
    <col width="16" customWidth="1" min="3" max="3"/>
    <col width="15" customWidth="1" min="4" max="4"/>
    <col width="15" customWidth="1" min="5" max="5"/>
    <col width="15" customWidth="1" min="6" max="6"/>
    <col width="15" customWidth="1" min="7" max="7"/>
    <col width="15" customWidth="1" min="8" max="8"/>
    <col width="13" customWidth="1" min="9" max="9"/>
    <col width="13" customWidth="1" min="10" max="10"/>
    <col width="13" customWidth="1" min="11" max="11"/>
    <col width="13" customWidth="1" min="12" max="12"/>
    <col width="13" customWidth="1" min="13" max="13"/>
    <col width="11" customWidth="1" min="14" max="14"/>
    <col width="30" customWidth="1" min="15" max="15"/>
  </cols>
  <sheetData>
    <row r="1" ht="43.5" customHeight="1">
      <c r="A1" s="1" t="inlineStr">
        <is>
          <t>BẢNG THEO DÕI TIẾN ĐỘ AI WORKFORCE — TỔNG CÔNG TY SIGMA</t>
        </is>
      </c>
    </row>
    <row r="2" ht="19.5" customHeight="1">
      <c r="A2" s="2" t="inlineStr">
        <is>
          <t>Cập nhật: 18/04/2026  •  Phòng ban: Thiết kế, Kế hoạch, Vật tư, Nhân sự  •  Tổng: 12 module</t>
        </is>
      </c>
    </row>
    <row r="3" ht="45.75" customHeight="1">
      <c r="A3" s="17" t="n"/>
      <c r="B3" s="17" t="n"/>
      <c r="C3" s="17" t="n"/>
      <c r="D3" s="4" t="inlineStr">
        <is>
          <t>GĐ1
Yêu cầu</t>
        </is>
      </c>
      <c r="E3" s="5" t="inlineStr">
        <is>
          <t>GĐ2
Demo CB</t>
        </is>
      </c>
      <c r="F3" s="6" t="inlineStr">
        <is>
          <t>GĐ3
Demo CTS</t>
        </is>
      </c>
      <c r="G3" s="7" t="inlineStr">
        <is>
          <t>GĐ4
Triển khai</t>
        </is>
      </c>
      <c r="H3" s="8" t="inlineStr">
        <is>
          <t>GĐ5
Nghiệm thu</t>
        </is>
      </c>
      <c r="I3" s="4" t="inlineStr">
        <is>
          <t>GĐ1
Yêu cầu</t>
        </is>
      </c>
      <c r="J3" s="5" t="inlineStr">
        <is>
          <t>GĐ2
Demo CB</t>
        </is>
      </c>
      <c r="K3" s="6" t="inlineStr">
        <is>
          <t>GĐ3
Demo CTS</t>
        </is>
      </c>
      <c r="L3" s="7" t="inlineStr">
        <is>
          <t>GĐ4
Triển khai</t>
        </is>
      </c>
      <c r="M3" s="8" t="inlineStr">
        <is>
          <t>GĐ5
Nghiệm thu</t>
        </is>
      </c>
      <c r="N3" s="17" t="n"/>
      <c r="O3" s="17" t="n"/>
    </row>
    <row r="4" ht="25.5" customHeight="1">
      <c r="A4" s="18" t="inlineStr">
        <is>
          <t>STT</t>
        </is>
      </c>
      <c r="B4" s="18" t="inlineStr">
        <is>
          <t>Module / Tác vụ AI</t>
        </is>
      </c>
      <c r="C4" s="18" t="inlineStr">
        <is>
          <t>Phòng ban</t>
        </is>
      </c>
      <c r="D4" s="19" t="inlineStr">
        <is>
          <t>Trạng thái</t>
        </is>
      </c>
      <c r="E4" s="20" t="inlineStr">
        <is>
          <t>Trạng thái</t>
        </is>
      </c>
      <c r="F4" s="21" t="inlineStr">
        <is>
          <t>Trạng thái</t>
        </is>
      </c>
      <c r="G4" s="22" t="inlineStr">
        <is>
          <t>Trạng thái</t>
        </is>
      </c>
      <c r="H4" s="23" t="inlineStr">
        <is>
          <t>Trạng thái</t>
        </is>
      </c>
      <c r="I4" s="19" t="inlineStr">
        <is>
          <t>Ngày</t>
        </is>
      </c>
      <c r="J4" s="20" t="inlineStr">
        <is>
          <t>Ngày</t>
        </is>
      </c>
      <c r="K4" s="21" t="inlineStr">
        <is>
          <t>Ngày</t>
        </is>
      </c>
      <c r="L4" s="22" t="inlineStr">
        <is>
          <t>Ngày</t>
        </is>
      </c>
      <c r="M4" s="23" t="inlineStr">
        <is>
          <t>Ngày</t>
        </is>
      </c>
      <c r="N4" s="18" t="inlineStr">
        <is>
          <t>% Hoàn thành</t>
        </is>
      </c>
      <c r="O4" s="18" t="inlineStr">
        <is>
          <t>Ghi chú / Vướng mắc</t>
        </is>
      </c>
    </row>
    <row r="5" ht="27.75" customHeight="1">
      <c r="A5" s="24" t="inlineStr">
        <is>
          <t>PHÒNG THIẾT KẾ</t>
        </is>
      </c>
    </row>
    <row r="6" ht="27.75" customHeight="1">
      <c r="A6" s="9" t="n">
        <v>1</v>
      </c>
      <c r="B6" s="10" t="inlineStr">
        <is>
          <t>Tạo bản vẽ sơ bộ từ dữ liệu khảo sát</t>
        </is>
      </c>
      <c r="C6" s="9" t="inlineStr">
        <is>
          <t>Phòng Thiết kế</t>
        </is>
      </c>
      <c r="D6" s="25" t="inlineStr">
        <is>
          <t>Hoàn thành</t>
        </is>
      </c>
      <c r="E6" s="25" t="inlineStr">
        <is>
          <t>Hoàn thành</t>
        </is>
      </c>
      <c r="F6" s="26" t="inlineStr">
        <is>
          <t>Đang thực hiện</t>
        </is>
      </c>
      <c r="G6" s="27" t="inlineStr">
        <is>
          <t>Chưa bắt đầu</t>
        </is>
      </c>
      <c r="H6" s="27" t="inlineStr">
        <is>
          <t>Chưa bắt đầu</t>
        </is>
      </c>
      <c r="I6" s="9" t="inlineStr">
        <is>
          <t>10/04</t>
        </is>
      </c>
      <c r="J6" s="9" t="inlineStr">
        <is>
          <t>15/04</t>
        </is>
      </c>
      <c r="K6" s="9" t="inlineStr">
        <is>
          <t>20/04</t>
        </is>
      </c>
      <c r="L6" s="9" t="inlineStr">
        <is>
          <t>—</t>
        </is>
      </c>
      <c r="M6" s="9" t="inlineStr">
        <is>
          <t>—</t>
        </is>
      </c>
      <c r="N6" s="28" t="n">
        <v>0.4</v>
      </c>
      <c r="O6" s="10" t="inlineStr"/>
    </row>
    <row r="7" ht="27.75" customHeight="1">
      <c r="A7" s="12" t="n">
        <v>2</v>
      </c>
      <c r="B7" s="13" t="inlineStr">
        <is>
          <t>Kiểm tra đối chiếu bản vẽ với tiêu chuẩn</t>
        </is>
      </c>
      <c r="C7" s="12" t="inlineStr">
        <is>
          <t>Phòng Thiết kế</t>
        </is>
      </c>
      <c r="D7" s="25" t="inlineStr">
        <is>
          <t>Hoàn thành</t>
        </is>
      </c>
      <c r="E7" s="26" t="inlineStr">
        <is>
          <t>Đang thực hiện</t>
        </is>
      </c>
      <c r="F7" s="29" t="inlineStr">
        <is>
          <t>Chờ xếp lịch</t>
        </is>
      </c>
      <c r="G7" s="27" t="inlineStr">
        <is>
          <t>Chưa bắt đầu</t>
        </is>
      </c>
      <c r="H7" s="27" t="inlineStr">
        <is>
          <t>Chưa bắt đầu</t>
        </is>
      </c>
      <c r="I7" s="9" t="inlineStr">
        <is>
          <t>10/04</t>
        </is>
      </c>
      <c r="J7" s="9" t="inlineStr">
        <is>
          <t>15/04</t>
        </is>
      </c>
      <c r="K7" s="9" t="inlineStr">
        <is>
          <t>—</t>
        </is>
      </c>
      <c r="L7" s="9" t="inlineStr">
        <is>
          <t>—</t>
        </is>
      </c>
      <c r="M7" s="9" t="inlineStr">
        <is>
          <t>—</t>
        </is>
      </c>
      <c r="N7" s="30" t="n">
        <v>0.2</v>
      </c>
      <c r="O7" s="13" t="inlineStr"/>
    </row>
    <row r="8" ht="27.75" customHeight="1">
      <c r="A8" s="9" t="n">
        <v>3</v>
      </c>
      <c r="B8" s="10" t="inlineStr">
        <is>
          <t>Xuất hồ sơ thiết kế theo mẫu Tổng Công ty</t>
        </is>
      </c>
      <c r="C8" s="9" t="inlineStr">
        <is>
          <t>Phòng Thiết kế</t>
        </is>
      </c>
      <c r="D8" s="25" t="inlineStr">
        <is>
          <t>Hoàn thành</t>
        </is>
      </c>
      <c r="E8" s="25" t="inlineStr">
        <is>
          <t>Hoàn thành</t>
        </is>
      </c>
      <c r="F8" s="25" t="inlineStr">
        <is>
          <t>Hoàn thành</t>
        </is>
      </c>
      <c r="G8" s="26" t="inlineStr">
        <is>
          <t>Đang thực hiện</t>
        </is>
      </c>
      <c r="H8" s="27" t="inlineStr">
        <is>
          <t>Chưa bắt đầu</t>
        </is>
      </c>
      <c r="I8" s="9" t="inlineStr">
        <is>
          <t>10/04</t>
        </is>
      </c>
      <c r="J8" s="9" t="inlineStr">
        <is>
          <t>15/04</t>
        </is>
      </c>
      <c r="K8" s="9" t="inlineStr">
        <is>
          <t>20/04</t>
        </is>
      </c>
      <c r="L8" s="9" t="inlineStr">
        <is>
          <t>25/04</t>
        </is>
      </c>
      <c r="M8" s="9" t="inlineStr">
        <is>
          <t>—</t>
        </is>
      </c>
      <c r="N8" s="28" t="n">
        <v>0.6</v>
      </c>
      <c r="O8" s="10" t="inlineStr"/>
    </row>
    <row r="9" ht="27.75" customHeight="1">
      <c r="A9" s="24" t="inlineStr">
        <is>
          <t>PHÒNG KẾ HOẠCH</t>
        </is>
      </c>
    </row>
    <row r="10" ht="27.75" customHeight="1">
      <c r="A10" s="12" t="n">
        <v>4</v>
      </c>
      <c r="B10" s="13" t="inlineStr">
        <is>
          <t>Lập tiến độ thi công từ khối lượng BOQ</t>
        </is>
      </c>
      <c r="C10" s="12" t="inlineStr">
        <is>
          <t>Phòng Kế hoạch</t>
        </is>
      </c>
      <c r="D10" s="26" t="inlineStr">
        <is>
          <t>Đang thực hiện</t>
        </is>
      </c>
      <c r="E10" s="29" t="inlineStr">
        <is>
          <t>Chờ xếp lịch</t>
        </is>
      </c>
      <c r="F10" s="27" t="inlineStr">
        <is>
          <t>Chưa bắt đầu</t>
        </is>
      </c>
      <c r="G10" s="27" t="inlineStr">
        <is>
          <t>Chưa bắt đầu</t>
        </is>
      </c>
      <c r="H10" s="27" t="inlineStr">
        <is>
          <t>Chưa bắt đầu</t>
        </is>
      </c>
      <c r="I10" s="9" t="inlineStr">
        <is>
          <t>10/04</t>
        </is>
      </c>
      <c r="J10" s="9" t="inlineStr">
        <is>
          <t>—</t>
        </is>
      </c>
      <c r="K10" s="9" t="inlineStr">
        <is>
          <t>—</t>
        </is>
      </c>
      <c r="L10" s="9" t="inlineStr">
        <is>
          <t>—</t>
        </is>
      </c>
      <c r="M10" s="9" t="inlineStr">
        <is>
          <t>—</t>
        </is>
      </c>
      <c r="N10" s="30" t="n">
        <v>0</v>
      </c>
      <c r="O10" s="13" t="inlineStr"/>
    </row>
    <row r="11" ht="27.75" customHeight="1">
      <c r="A11" s="9" t="n">
        <v>5</v>
      </c>
      <c r="B11" s="10" t="inlineStr">
        <is>
          <t>Phân bổ nguồn lực theo từng gói thầu</t>
        </is>
      </c>
      <c r="C11" s="9" t="inlineStr">
        <is>
          <t>Phòng Kế hoạch</t>
        </is>
      </c>
      <c r="D11" s="25" t="inlineStr">
        <is>
          <t>Hoàn thành</t>
        </is>
      </c>
      <c r="E11" s="25" t="inlineStr">
        <is>
          <t>Hoàn thành</t>
        </is>
      </c>
      <c r="F11" s="26" t="inlineStr">
        <is>
          <t>Đang thực hiện</t>
        </is>
      </c>
      <c r="G11" s="29" t="inlineStr">
        <is>
          <t>Chờ xếp lịch</t>
        </is>
      </c>
      <c r="H11" s="27" t="inlineStr">
        <is>
          <t>Chưa bắt đầu</t>
        </is>
      </c>
      <c r="I11" s="9" t="inlineStr">
        <is>
          <t>10/04</t>
        </is>
      </c>
      <c r="J11" s="9" t="inlineStr">
        <is>
          <t>15/04</t>
        </is>
      </c>
      <c r="K11" s="9" t="inlineStr">
        <is>
          <t>20/04</t>
        </is>
      </c>
      <c r="L11" s="9" t="inlineStr">
        <is>
          <t>—</t>
        </is>
      </c>
      <c r="M11" s="9" t="inlineStr">
        <is>
          <t>—</t>
        </is>
      </c>
      <c r="N11" s="28" t="n">
        <v>0.4</v>
      </c>
      <c r="O11" s="10" t="inlineStr"/>
    </row>
    <row r="12" ht="27.75" customHeight="1">
      <c r="A12" s="12" t="n">
        <v>6</v>
      </c>
      <c r="B12" s="13" t="inlineStr">
        <is>
          <t>Báo cáo tổng hợp tuần cho Ban Giám đốc</t>
        </is>
      </c>
      <c r="C12" s="12" t="inlineStr">
        <is>
          <t>Phòng Kế hoạch</t>
        </is>
      </c>
      <c r="D12" s="25" t="inlineStr">
        <is>
          <t>Hoàn thành</t>
        </is>
      </c>
      <c r="E12" s="26" t="inlineStr">
        <is>
          <t>Đang thực hiện</t>
        </is>
      </c>
      <c r="F12" s="27" t="inlineStr">
        <is>
          <t>Chưa bắt đầu</t>
        </is>
      </c>
      <c r="G12" s="27" t="inlineStr">
        <is>
          <t>Chưa bắt đầu</t>
        </is>
      </c>
      <c r="H12" s="27" t="inlineStr">
        <is>
          <t>Chưa bắt đầu</t>
        </is>
      </c>
      <c r="I12" s="9" t="inlineStr">
        <is>
          <t>10/04</t>
        </is>
      </c>
      <c r="J12" s="9" t="inlineStr">
        <is>
          <t>15/04</t>
        </is>
      </c>
      <c r="K12" s="9" t="inlineStr">
        <is>
          <t>—</t>
        </is>
      </c>
      <c r="L12" s="9" t="inlineStr">
        <is>
          <t>—</t>
        </is>
      </c>
      <c r="M12" s="9" t="inlineStr">
        <is>
          <t>—</t>
        </is>
      </c>
      <c r="N12" s="30" t="n">
        <v>0.2</v>
      </c>
      <c r="O12" s="13" t="inlineStr"/>
    </row>
    <row r="13" ht="27.75" customHeight="1">
      <c r="A13" s="24" t="inlineStr">
        <is>
          <t>PHÒNG VẬT TƯ</t>
        </is>
      </c>
    </row>
    <row r="14" ht="27.75" customHeight="1">
      <c r="A14" s="9" t="n">
        <v>7</v>
      </c>
      <c r="B14" s="10" t="inlineStr">
        <is>
          <t>Tra cứu đơn giá vật liệu từ cơ sở dữ liệu</t>
        </is>
      </c>
      <c r="C14" s="9" t="inlineStr">
        <is>
          <t>Phòng Vật tư</t>
        </is>
      </c>
      <c r="D14" s="31" t="inlineStr">
        <is>
          <t>Tạm dừng</t>
        </is>
      </c>
      <c r="E14" s="27" t="inlineStr">
        <is>
          <t>Chưa bắt đầu</t>
        </is>
      </c>
      <c r="F14" s="27" t="inlineStr">
        <is>
          <t>Chưa bắt đầu</t>
        </is>
      </c>
      <c r="G14" s="27" t="inlineStr">
        <is>
          <t>Chưa bắt đầu</t>
        </is>
      </c>
      <c r="H14" s="27" t="inlineStr">
        <is>
          <t>Chưa bắt đầu</t>
        </is>
      </c>
      <c r="I14" s="9" t="inlineStr">
        <is>
          <t>—</t>
        </is>
      </c>
      <c r="J14" s="9" t="inlineStr">
        <is>
          <t>—</t>
        </is>
      </c>
      <c r="K14" s="9" t="inlineStr">
        <is>
          <t>—</t>
        </is>
      </c>
      <c r="L14" s="9" t="inlineStr">
        <is>
          <t>—</t>
        </is>
      </c>
      <c r="M14" s="9" t="inlineStr">
        <is>
          <t>—</t>
        </is>
      </c>
      <c r="N14" s="28" t="n">
        <v>0</v>
      </c>
      <c r="O14" s="10" t="inlineStr"/>
    </row>
    <row r="15" ht="27.75" customHeight="1">
      <c r="A15" s="12" t="n">
        <v>8</v>
      </c>
      <c r="B15" s="13" t="inlineStr">
        <is>
          <t>So sánh báo giá nhà cung cấp</t>
        </is>
      </c>
      <c r="C15" s="12" t="inlineStr">
        <is>
          <t>Phòng Vật tư</t>
        </is>
      </c>
      <c r="D15" s="25" t="inlineStr">
        <is>
          <t>Hoàn thành</t>
        </is>
      </c>
      <c r="E15" s="25" t="inlineStr">
        <is>
          <t>Hoàn thành</t>
        </is>
      </c>
      <c r="F15" s="25" t="inlineStr">
        <is>
          <t>Hoàn thành</t>
        </is>
      </c>
      <c r="G15" s="26" t="inlineStr">
        <is>
          <t>Đang thực hiện</t>
        </is>
      </c>
      <c r="H15" s="29" t="inlineStr">
        <is>
          <t>Chờ xếp lịch</t>
        </is>
      </c>
      <c r="I15" s="9" t="inlineStr">
        <is>
          <t>10/04</t>
        </is>
      </c>
      <c r="J15" s="9" t="inlineStr">
        <is>
          <t>15/04</t>
        </is>
      </c>
      <c r="K15" s="9" t="inlineStr">
        <is>
          <t>20/04</t>
        </is>
      </c>
      <c r="L15" s="9" t="inlineStr">
        <is>
          <t>25/04</t>
        </is>
      </c>
      <c r="M15" s="9" t="inlineStr">
        <is>
          <t>—</t>
        </is>
      </c>
      <c r="N15" s="30" t="n">
        <v>0.6</v>
      </c>
      <c r="O15" s="13" t="inlineStr"/>
    </row>
    <row r="16" ht="27.75" customHeight="1">
      <c r="A16" s="9" t="n">
        <v>9</v>
      </c>
      <c r="B16" s="10" t="inlineStr">
        <is>
          <t>Tạo đề xuất mua sắm theo mẫu</t>
        </is>
      </c>
      <c r="C16" s="9" t="inlineStr">
        <is>
          <t>Phòng Vật tư</t>
        </is>
      </c>
      <c r="D16" s="25" t="inlineStr">
        <is>
          <t>Hoàn thành</t>
        </is>
      </c>
      <c r="E16" s="25" t="inlineStr">
        <is>
          <t>Hoàn thành</t>
        </is>
      </c>
      <c r="F16" s="26" t="inlineStr">
        <is>
          <t>Đang thực hiện</t>
        </is>
      </c>
      <c r="G16" s="27" t="inlineStr">
        <is>
          <t>Chưa bắt đầu</t>
        </is>
      </c>
      <c r="H16" s="27" t="inlineStr">
        <is>
          <t>Chưa bắt đầu</t>
        </is>
      </c>
      <c r="I16" s="9" t="inlineStr">
        <is>
          <t>10/04</t>
        </is>
      </c>
      <c r="J16" s="9" t="inlineStr">
        <is>
          <t>15/04</t>
        </is>
      </c>
      <c r="K16" s="9" t="inlineStr">
        <is>
          <t>20/04</t>
        </is>
      </c>
      <c r="L16" s="9" t="inlineStr">
        <is>
          <t>—</t>
        </is>
      </c>
      <c r="M16" s="9" t="inlineStr">
        <is>
          <t>—</t>
        </is>
      </c>
      <c r="N16" s="28" t="n">
        <v>0.4</v>
      </c>
      <c r="O16" s="10" t="inlineStr"/>
    </row>
    <row r="17" ht="27.75" customHeight="1">
      <c r="A17" s="24" t="inlineStr">
        <is>
          <t>PHÒNG NHÂN SỰ</t>
        </is>
      </c>
    </row>
    <row r="18" ht="27.75" customHeight="1">
      <c r="A18" s="12" t="n">
        <v>10</v>
      </c>
      <c r="B18" s="13" t="inlineStr">
        <is>
          <t>Soạn JD tuyển dụng theo vị trí</t>
        </is>
      </c>
      <c r="C18" s="12" t="inlineStr">
        <is>
          <t>Phòng Nhân sự</t>
        </is>
      </c>
      <c r="D18" s="26" t="inlineStr">
        <is>
          <t>Đang thực hiện</t>
        </is>
      </c>
      <c r="E18" s="29" t="inlineStr">
        <is>
          <t>Chờ xếp lịch</t>
        </is>
      </c>
      <c r="F18" s="27" t="inlineStr">
        <is>
          <t>Chưa bắt đầu</t>
        </is>
      </c>
      <c r="G18" s="27" t="inlineStr">
        <is>
          <t>Chưa bắt đầu</t>
        </is>
      </c>
      <c r="H18" s="27" t="inlineStr">
        <is>
          <t>Chưa bắt đầu</t>
        </is>
      </c>
      <c r="I18" s="9" t="inlineStr">
        <is>
          <t>10/04</t>
        </is>
      </c>
      <c r="J18" s="9" t="inlineStr">
        <is>
          <t>—</t>
        </is>
      </c>
      <c r="K18" s="9" t="inlineStr">
        <is>
          <t>—</t>
        </is>
      </c>
      <c r="L18" s="9" t="inlineStr">
        <is>
          <t>—</t>
        </is>
      </c>
      <c r="M18" s="9" t="inlineStr">
        <is>
          <t>—</t>
        </is>
      </c>
      <c r="N18" s="30" t="n">
        <v>0</v>
      </c>
      <c r="O18" s="13" t="inlineStr"/>
    </row>
    <row r="19" ht="27.75" customHeight="1">
      <c r="A19" s="9" t="n">
        <v>11</v>
      </c>
      <c r="B19" s="10" t="inlineStr">
        <is>
          <t>Lọc và đánh giá CV ứng viên</t>
        </is>
      </c>
      <c r="C19" s="9" t="inlineStr">
        <is>
          <t>Phòng Nhân sự</t>
        </is>
      </c>
      <c r="D19" s="25" t="inlineStr">
        <is>
          <t>Hoàn thành</t>
        </is>
      </c>
      <c r="E19" s="25" t="inlineStr">
        <is>
          <t>Hoàn thành</t>
        </is>
      </c>
      <c r="F19" s="25" t="inlineStr">
        <is>
          <t>Hoàn thành</t>
        </is>
      </c>
      <c r="G19" s="25" t="inlineStr">
        <is>
          <t>Hoàn thành</t>
        </is>
      </c>
      <c r="H19" s="26" t="inlineStr">
        <is>
          <t>Đang thực hiện</t>
        </is>
      </c>
      <c r="I19" s="9" t="inlineStr">
        <is>
          <t>10/04</t>
        </is>
      </c>
      <c r="J19" s="9" t="inlineStr">
        <is>
          <t>15/04</t>
        </is>
      </c>
      <c r="K19" s="9" t="inlineStr">
        <is>
          <t>20/04</t>
        </is>
      </c>
      <c r="L19" s="9" t="inlineStr">
        <is>
          <t>25/04</t>
        </is>
      </c>
      <c r="M19" s="9" t="inlineStr">
        <is>
          <t>30/04</t>
        </is>
      </c>
      <c r="N19" s="28" t="n">
        <v>0.8</v>
      </c>
      <c r="O19" s="10" t="inlineStr"/>
    </row>
    <row r="20" ht="27.75" customHeight="1">
      <c r="A20" s="12" t="n">
        <v>12</v>
      </c>
      <c r="B20" s="13" t="inlineStr">
        <is>
          <t>Soạn email liên hệ ứng viên (6 loại)</t>
        </is>
      </c>
      <c r="C20" s="12" t="inlineStr">
        <is>
          <t>Phòng Nhân sự</t>
        </is>
      </c>
      <c r="D20" s="25" t="inlineStr">
        <is>
          <t>Hoàn thành</t>
        </is>
      </c>
      <c r="E20" s="26" t="inlineStr">
        <is>
          <t>Đang thực hiện</t>
        </is>
      </c>
      <c r="F20" s="29" t="inlineStr">
        <is>
          <t>Chờ xếp lịch</t>
        </is>
      </c>
      <c r="G20" s="27" t="inlineStr">
        <is>
          <t>Chưa bắt đầu</t>
        </is>
      </c>
      <c r="H20" s="27" t="inlineStr">
        <is>
          <t>Chưa bắt đầu</t>
        </is>
      </c>
      <c r="I20" s="9" t="inlineStr">
        <is>
          <t>10/04</t>
        </is>
      </c>
      <c r="J20" s="9" t="inlineStr">
        <is>
          <t>15/04</t>
        </is>
      </c>
      <c r="K20" s="9" t="inlineStr">
        <is>
          <t>—</t>
        </is>
      </c>
      <c r="L20" s="9" t="inlineStr">
        <is>
          <t>—</t>
        </is>
      </c>
      <c r="M20" s="9" t="inlineStr">
        <is>
          <t>—</t>
        </is>
      </c>
      <c r="N20" s="30" t="n">
        <v>0.2</v>
      </c>
      <c r="O20" s="13" t="inlineStr"/>
    </row>
  </sheetData>
  <mergeCells count="6">
    <mergeCell ref="A2:O2"/>
    <mergeCell ref="A13:O13"/>
    <mergeCell ref="A1:O1"/>
    <mergeCell ref="A5:O5"/>
    <mergeCell ref="A17:O17"/>
    <mergeCell ref="A9:O9"/>
  </mergeCells>
  <dataValidations count="1">
    <dataValidation sqref="D6 D7 D8 D10 D11 D12 D14 D15 D16 D18 D19 D20 E6 E7 E8 E10 E11 E12 E14 E15 E16 E18 E19 E20 F6 F7 F8 F10 F11 F12 F14 F15 F16 F18 F19 F20 G6 G7 G8 G10 G11 G12 G14 G15 G16 G18 G19 G20 H6 H7 H8 H10 H11 H12 H14 H15 H16 H18 H19 H20" showDropDown="0" showInputMessage="0" showErrorMessage="0" allowBlank="0" type="list">
      <formula1>"Hoàn thành,Đang thực hiện,Chờ xếp lịch,Chưa bắt đầu,Tạm dừng"</formula1>
    </dataValidation>
  </dataValidations>
  <pageMargins left="0.75" right="0.75" top="1" bottom="1" header="0.5" footer="0.5"/>
</worksheet>
</file>

<file path=xl/worksheets/sheet3.xml><?xml version="1.0" encoding="utf-8"?>
<worksheet xmlns="http://schemas.openxmlformats.org/spreadsheetml/2006/main">
  <sheetPr>
    <tabColor rgb="00375623"/>
    <outlinePr summaryBelow="1" summaryRight="1"/>
    <pageSetUpPr/>
  </sheetPr>
  <dimension ref="A1:B9"/>
  <sheetViews>
    <sheetView workbookViewId="0">
      <selection activeCell="A1" sqref="A1"/>
    </sheetView>
  </sheetViews>
  <sheetFormatPr baseColWidth="8" defaultRowHeight="15"/>
  <cols>
    <col width="5" customWidth="1" min="1" max="1"/>
    <col width="80" customWidth="1" min="2" max="2"/>
  </cols>
  <sheetData>
    <row r="1" ht="43.5" customHeight="1">
      <c r="A1" s="1" t="inlineStr">
        <is>
          <t>HƯỚNG DẪN SỬ DỤNG FILE THEO DÕI TIẾN ĐỘ</t>
        </is>
      </c>
    </row>
    <row r="3" ht="39.75" customHeight="1">
      <c r="A3" s="16" t="inlineStr">
        <is>
          <t>1</t>
        </is>
      </c>
      <c r="B3" s="32" t="inlineStr">
        <is>
          <t>Sheet 📊 BGĐ Dashboard là sheet tổng quan dành cho Ban Giám đốc. KHÔNG chỉnh sửa tay — toàn bộ dữ liệu tự cập nhật từ sheet Tiến Độ.</t>
        </is>
      </c>
    </row>
    <row r="4" ht="39.75" customHeight="1">
      <c r="A4" s="16" t="inlineStr">
        <is>
          <t>2</t>
        </is>
      </c>
      <c r="B4" s="32" t="inlineStr">
        <is>
          <t>Sheet 📋 Tiến Độ 5 GĐ là nơi các phòng ban cập nhật trạng thái. Chọn trạng thái từ dropdown, KHÔNG gõ tay.</t>
        </is>
      </c>
    </row>
    <row r="5" ht="39.75" customHeight="1">
      <c r="A5" s="16" t="inlineStr">
        <is>
          <t>3</t>
        </is>
      </c>
      <c r="B5" s="32" t="inlineStr">
        <is>
          <t>5 trạng thái cố định: Hoàn thành, Đang thực hiện, Chờ xếp lịch, Chưa bắt đầu, Tạm dừng. Không được tự thêm trạng thái mới.</t>
        </is>
      </c>
    </row>
    <row r="6" ht="39.75" customHeight="1">
      <c r="A6" s="16" t="inlineStr">
        <is>
          <t>4</t>
        </is>
      </c>
      <c r="B6" s="32" t="inlineStr">
        <is>
          <t>Mỗi module có 5 giai đoạn. Cập nhật lần lượt từ GĐ1 sang GĐ5. Không nhảy cóc giai đoạn.</t>
        </is>
      </c>
    </row>
    <row r="7" ht="39.75" customHeight="1">
      <c r="A7" s="16" t="inlineStr">
        <is>
          <t>5</t>
        </is>
      </c>
      <c r="B7" s="32" t="inlineStr">
        <is>
          <t>Cột Ghi chú dùng để giải thích vướng mắc hoặc lý do Tạm dừng. Bắt buộc ghi khi trạng thái là Tạm dừng.</t>
        </is>
      </c>
    </row>
    <row r="8" ht="39.75" customHeight="1">
      <c r="A8" s="16" t="inlineStr">
        <is>
          <t>6</t>
        </is>
      </c>
      <c r="B8" s="32" t="inlineStr">
        <is>
          <t>Cột % Hoàn thành tự tính = Số GĐ Hoàn thành / 5. Không chỉnh sửa công thức.</t>
        </is>
      </c>
    </row>
    <row r="9" ht="39.75" customHeight="1">
      <c r="A9" s="16" t="inlineStr">
        <is>
          <t>7</t>
        </is>
      </c>
      <c r="B9" s="32" t="inlineStr">
        <is>
          <t>Mọi thay đổi cấu trúc file (thêm cột, đổi tên sheet) phải ghi vào sheet 📝 Change Log.</t>
        </is>
      </c>
    </row>
  </sheetData>
  <mergeCells count="1">
    <mergeCell ref="A1:B1"/>
  </mergeCells>
  <pageMargins left="0.75" right="0.75" top="1" bottom="1" header="0.5" footer="0.5"/>
</worksheet>
</file>

<file path=xl/worksheets/sheet4.xml><?xml version="1.0" encoding="utf-8"?>
<worksheet xmlns="http://schemas.openxmlformats.org/spreadsheetml/2006/main">
  <sheetPr>
    <tabColor rgb="00843C0C"/>
    <outlinePr summaryBelow="1" summaryRight="1"/>
    <pageSetUpPr/>
  </sheetPr>
  <dimension ref="A1:D4"/>
  <sheetViews>
    <sheetView workbookViewId="0">
      <selection activeCell="A1" sqref="A1"/>
    </sheetView>
  </sheetViews>
  <sheetFormatPr baseColWidth="8" defaultRowHeight="15"/>
  <cols>
    <col width="14" customWidth="1" min="1" max="1"/>
    <col width="20" customWidth="1" min="2" max="2"/>
    <col width="50" customWidth="1" min="3" max="3"/>
    <col width="20" customWidth="1" min="4" max="4"/>
  </cols>
  <sheetData>
    <row r="1" ht="43.5" customHeight="1">
      <c r="A1" s="1" t="inlineStr">
        <is>
          <t>NHẬT KÝ THAY ĐỔI (CHANGE LOG)</t>
        </is>
      </c>
    </row>
    <row r="2" ht="27.75" customHeight="1">
      <c r="A2" s="33" t="inlineStr">
        <is>
          <t>Ngày</t>
        </is>
      </c>
      <c r="B2" s="33" t="inlineStr">
        <is>
          <t>Người thay đổi</t>
        </is>
      </c>
      <c r="C2" s="33" t="inlineStr">
        <is>
          <t>Nội dung thay đổi</t>
        </is>
      </c>
      <c r="D2" s="33" t="inlineStr">
        <is>
          <t>Phiên bản</t>
        </is>
      </c>
    </row>
    <row r="3" ht="27.75" customHeight="1">
      <c r="A3" s="9" t="inlineStr">
        <is>
          <t>18/04/2026</t>
        </is>
      </c>
      <c r="B3" s="9" t="inlineStr">
        <is>
          <t>Admin</t>
        </is>
      </c>
      <c r="C3" s="10" t="inlineStr">
        <is>
          <t>Tạo file theo dõi ban đầu, 12 module, 4 phòng ban</t>
        </is>
      </c>
      <c r="D3" s="9" t="inlineStr">
        <is>
          <t>v1.0</t>
        </is>
      </c>
    </row>
    <row r="4" ht="27.75" customHeight="1">
      <c r="A4" s="9" t="inlineStr">
        <is>
          <t>18/04/2026</t>
        </is>
      </c>
      <c r="B4" s="9" t="inlineStr">
        <is>
          <t>Admin</t>
        </is>
      </c>
      <c r="C4" s="10" t="inlineStr">
        <is>
          <t>Cập nhật trạng thái GĐ1 cho toàn bộ Phòng Thiết kế</t>
        </is>
      </c>
      <c r="D4" s="9" t="inlineStr">
        <is>
          <t>v1.0</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2026-04-18T08:58:29Z</dcterms:created>
  <dcterms:modified xmlns:dcterms="http://purl.org/dc/terms/" xmlns:xsi="http://www.w3.org/2001/XMLSchema-instance" xsi:type="dcterms:W3CDTF">2026-04-18T08:58:29Z</dcterms:modified>
</cp:coreProperties>
</file>